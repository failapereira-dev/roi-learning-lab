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a2f0e243d84a7a" /></Relationships>
</file>

<file path=xl/workbook.xml><?xml version="1.0" encoding="utf-8"?>
<x:workbook xmlns:x="http://schemas.openxmlformats.org/spreadsheetml/2006/main">
  <x:sheets>
    <x:sheet xmlns:r="http://schemas.openxmlformats.org/officeDocument/2006/relationships" name="Resumo" sheetId="1" r:id="Rd46a7e5fce95454b"/>
    <x:sheet xmlns:r="http://schemas.openxmlformats.org/officeDocument/2006/relationships" name="Casos IA" sheetId="2" r:id="R064ee44c15184014"/>
    <x:sheet xmlns:r="http://schemas.openxmlformats.org/officeDocument/2006/relationships" name="Casos Brasil - Operacional" sheetId="3" r:id="R4e1ea6bfc13b45da"/>
    <x:sheet xmlns:r="http://schemas.openxmlformats.org/officeDocument/2006/relationships" name="Fontes" sheetId="4" r:id="R657cb4f1bc584ad5"/>
    <x:sheet xmlns:r="http://schemas.openxmlformats.org/officeDocument/2006/relationships" name="Lições" sheetId="5" r:id="Rd422db975eb647cc"/>
    <x:sheet xmlns:r="http://schemas.openxmlformats.org/officeDocument/2006/relationships" name="Anexo Elicit" sheetId="6" r:id="Rbcc6c5ade3e447e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1"/>
      <x:color rgb="FF1F2937"/>
      <x:name val="Carlito"/>
    </x:font>
    <x:font>
      <x:b/>
      <x:sz val="11"/>
      <x:color rgb="FFFFFFFF"/>
      <x:name val="Carlito"/>
    </x:font>
    <x:font>
      <x:i/>
      <x:sz val="11"/>
      <x:name val="Carlito"/>
    </x:font>
  </x:fonts>
  <x:fills count="8">
    <x:fill>
      <x:patternFill patternType="none"/>
    </x:fill>
    <x:fill>
      <x:patternFill patternType="gray125"/>
    </x:fill>
    <x:fill>
      <x:patternFill patternType="solid">
        <x:fgColor rgb="FF0B1F33"/>
      </x:patternFill>
    </x:fill>
    <x:fill>
      <x:patternFill patternType="solid">
        <x:fgColor rgb="FFEAF3F8"/>
      </x:patternFill>
    </x:fill>
    <x:fill>
      <x:patternFill patternType="solid">
        <x:fgColor rgb="FF1F4E79"/>
      </x:patternFill>
    </x:fill>
    <x:fill>
      <x:patternFill patternType="solid">
        <x:fgColor rgb="FFFFFFFF"/>
      </x:patternFill>
    </x:fill>
    <x:fill>
      <x:patternFill patternType="solid">
        <x:fgColor rgb="FFFFF2CC"/>
      </x:patternFill>
    </x:fill>
    <x:fill>
      <x:patternFill patternType="solid">
        <x:fgColor rgb="FF5B6C7A"/>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cellXfs>
  <x:cellStyles count="1">
    <x:cellStyle name="Normal" xfId="0"/>
  </x:cellStyles>
  <x:dxfs count="3">
    <x:dxf>
      <x:fill>
        <x:patternFill patternType="solid">
          <x:bgColor rgb="FFE2F0D9"/>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55f33d6c0b45f6" /><Relationship Type="http://schemas.openxmlformats.org/officeDocument/2006/relationships/theme" Target="/xl/theme/theme1.xml" Id="Rf715c142ab014a17" /><Relationship Type="http://schemas.openxmlformats.org/officeDocument/2006/relationships/sharedStrings" Target="/xl/sharedStrings.xml" Id="R0d5f2b60119c4e29" /><Relationship Type="http://schemas.openxmlformats.org/officeDocument/2006/relationships/worksheet" Target="/xl/worksheets/sheet1.xml" Id="Rd46a7e5fce95454b" /><Relationship Type="http://schemas.openxmlformats.org/officeDocument/2006/relationships/worksheet" Target="/xl/worksheets/sheet2.xml" Id="R064ee44c15184014" /><Relationship Type="http://schemas.openxmlformats.org/officeDocument/2006/relationships/worksheet" Target="/xl/worksheets/sheet3.xml" Id="R4e1ea6bfc13b45da" /><Relationship Type="http://schemas.openxmlformats.org/officeDocument/2006/relationships/worksheet" Target="/xl/worksheets/sheet4.xml" Id="R657cb4f1bc584ad5" /><Relationship Type="http://schemas.openxmlformats.org/officeDocument/2006/relationships/worksheet" Target="/xl/worksheets/sheet5.xml" Id="Rd422db975eb647cc" /><Relationship Type="http://schemas.openxmlformats.org/officeDocument/2006/relationships/worksheet" Target="/xl/worksheets/sheet6.xml" Id="Rbcc6c5ade3e447e6" /></Relationships>
</file>

<file path=xl/tables/table1.xml><?xml version="1.0" encoding="utf-8"?>
<x:table xmlns:x="http://schemas.openxmlformats.org/spreadsheetml/2006/main" id="1" name="CasosIATable" displayName="CasosIATable" ref="A1:O8" headerRowCount="1">
  <x:tableColumns count="15">
    <x:tableColumn id="1" name="ID"/>
    <x:tableColumn id="2" name="Escopo"/>
    <x:tableColumn id="3" name="País/Região"/>
    <x:tableColumn id="4" name="Organização"/>
    <x:tableColumn id="5" name="Caso / tecnologia"/>
    <x:tableColumn id="6" name="Área clínica ou processo"/>
    <x:tableColumn id="7" name="Ano(s)"/>
    <x:tableColumn id="8" name="Resultado resumido"/>
    <x:tableColumn id="9" name="Status didático"/>
    <x:tableColumn id="10" name="Evidência principal"/>
    <x:tableColumn id="11" name="Indicadores ou resultado documentado"/>
    <x:tableColumn id="12" name="Riscos / limitações"/>
    <x:tableColumn id="13" name="Como usar na apresentação"/>
    <x:tableColumn id="14" name="Fonte principal"/>
    <x:tableColumn id="15" name="Fontes adicionais"/>
  </x:tableColumns>
  <x:tableStyleInfo name="TableStyleMedium2" showRowStripes="1"/>
</x:table>
</file>

<file path=xl/tables/table2.xml><?xml version="1.0" encoding="utf-8"?>
<x:table xmlns:x="http://schemas.openxmlformats.org/spreadsheetml/2006/main" id="2" name="CasosOperacionaisBrasil" displayName="CasosOperacionaisBrasil" ref="A1:G4" headerRowCount="1">
  <x:tableColumns count="7">
    <x:tableColumn id="1" name="ID"/>
    <x:tableColumn id="2" name="Cenário original"/>
    <x:tableColumn id="3" name="Caso brasileiro real"/>
    <x:tableColumn id="4" name="Evidência documentada"/>
    <x:tableColumn id="5" name="O que sustenta"/>
    <x:tableColumn id="6" name="Limitação / cuidado"/>
    <x:tableColumn id="7" name="URLs de apoio"/>
  </x:tableColumns>
  <x:tableStyleInfo name="TableStyleMedium2" showRowStripes="1"/>
</x:table>
</file>

<file path=xl/tables/table3.xml><?xml version="1.0" encoding="utf-8"?>
<x:table xmlns:x="http://schemas.openxmlformats.org/spreadsheetml/2006/main" id="3" name="FontesTable" displayName="FontesTable" ref="A1:G18" headerRowCount="1">
  <x:tableColumns count="7">
    <x:tableColumn id="1" name="ID fonte"/>
    <x:tableColumn id="2" name="Relacionado a"/>
    <x:tableColumn id="3" name="Título curto"/>
    <x:tableColumn id="4" name="Tipo"/>
    <x:tableColumn id="5" name="Ano/Data"/>
    <x:tableColumn id="6" name="URL"/>
    <x:tableColumn id="7" name="Uso na planilha"/>
  </x:tableColumns>
  <x:tableStyleInfo name="TableStyleMedium2" showRowStripes="1"/>
</x:table>
</file>

<file path=xl/tables/table4.xml><?xml version="1.0" encoding="utf-8"?>
<x:table xmlns:x="http://schemas.openxmlformats.org/spreadsheetml/2006/main" id="4" name="LicoesTable" displayName="LicoesTable" ref="A1:D8" headerRowCount="1">
  <x:tableColumns count="4">
    <x:tableColumn id="1" name="Tema"/>
    <x:tableColumn id="2" name="Lição aprendida"/>
    <x:tableColumn id="3" name="Casos que ilustram"/>
    <x:tableColumn id="4" name="Como transformar em pergunta de business case"/>
  </x:tableColumns>
  <x:tableStyleInfo name="TableStyleMedium2" showRowStripes="1"/>
</x:table>
</file>

<file path=xl/tables/table5.xml><?xml version="1.0" encoding="utf-8"?>
<x:table xmlns:x="http://schemas.openxmlformats.org/spreadsheetml/2006/main" id="5" name="AnexoElicitTable" displayName="AnexoElicitTable" ref="A1:H7" headerRowCount="1">
  <x:tableColumns count="8">
    <x:tableColumn id="1" name="Title"/>
    <x:tableColumn id="2" name="Authors"/>
    <x:tableColumn id="3" name="URL"/>
    <x:tableColumn id="4" name="DOI"/>
    <x:tableColumn id="5" name="Published Date"/>
    <x:tableColumn id="6" name="Argumento Que Sustenta"/>
    <x:tableColumn id="7" name="Tipo"/>
    <x:tableColumn id="8" name="Summar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0a7a2c262b40ed" /></Relationships>
</file>

<file path=xl/worksheets/_rels/sheet3.xml.rels>&#65279;<?xml version="1.0" encoding="utf-8"?><Relationships xmlns="http://schemas.openxmlformats.org/package/2006/relationships"><Relationship Type="http://schemas.openxmlformats.org/officeDocument/2006/relationships/table" Target="/xl/tables/table2.xml" Id="R783b9d2293ac4445" /></Relationships>
</file>

<file path=xl/worksheets/_rels/sheet4.xml.rels>&#65279;<?xml version="1.0" encoding="utf-8"?><Relationships xmlns="http://schemas.openxmlformats.org/package/2006/relationships"><Relationship Type="http://schemas.openxmlformats.org/officeDocument/2006/relationships/table" Target="/xl/tables/table3.xml" Id="Rb89e7685994b4a95" /></Relationships>
</file>

<file path=xl/worksheets/_rels/sheet5.xml.rels>&#65279;<?xml version="1.0" encoding="utf-8"?><Relationships xmlns="http://schemas.openxmlformats.org/package/2006/relationships"><Relationship Type="http://schemas.openxmlformats.org/officeDocument/2006/relationships/table" Target="/xl/tables/table4.xml" Id="Rda2157e1efe44398" /></Relationships>
</file>

<file path=xl/worksheets/_rels/sheet6.xml.rels>&#65279;<?xml version="1.0" encoding="utf-8"?><Relationships xmlns="http://schemas.openxmlformats.org/package/2006/relationships"><Relationship Type="http://schemas.openxmlformats.org/officeDocument/2006/relationships/table" Target="/xl/tables/table5.xml" Id="R6b04acf476774f3b" /></Relationships>
</file>

<file path=xl/worksheets/sheet1.xml><?xml version="1.0" encoding="utf-8"?>
<x:worksheet xmlns:x="http://schemas.openxmlformats.org/spreadsheetml/2006/main">
  <x:sheetFormatPr defaultRowHeight="15"/>
  <x:cols>
    <x:col min="1" max="1" width="26" hidden="0" customWidth="1"/>
    <x:col min="2" max="2" width="18" hidden="0" customWidth="1"/>
    <x:col min="3" max="3" width="45" hidden="0" customWidth="1"/>
    <x:col min="5" max="5" width="18" hidden="0" customWidth="1"/>
    <x:col min="6" max="6" width="16" hidden="0" customWidth="1"/>
  </x:cols>
  <x:sheetData>
    <x:row r="1" ht="30" customHeight="1">
      <x:c r="A1" s="5" t="str">
        <x:v>Casos reais de IA em saúde — exemplos internacionais e brasileiros</x:v>
      </x:c>
    </x:row>
    <x:row r="2" ht="28" customHeight="1">
      <x:c r="A2" s="12" t="str">
        <x:v>Planilha criada para apoiar aula/apresentação sobre implementação de IA: sucesso, falha, riscos ocultos e lições de governança clínica.</x:v>
      </x:c>
    </x:row>
    <x:row r="4">
      <x:c r="A4" s="22" t="str">
        <x:v>Indicador</x:v>
      </x:c>
      <x:c r="B4" s="22" t="str">
        <x:v>Valor</x:v>
      </x:c>
      <x:c r="C4" s="22" t="str">
        <x:v>Comentário</x:v>
      </x:c>
      <x:c r="E4" s="18" t="str">
        <x:v>Resultado</x:v>
      </x:c>
      <x:c r="F4" s="18" t="str">
        <x:v>Quantidade</x:v>
      </x:c>
    </x:row>
    <x:row r="5">
      <x:c r="A5" s="23" t="str">
        <x:v>Total de casos de IA</x:v>
      </x:c>
      <x:c r="B5" s="23" t="n">
        <x:f>COUNTA('Casos IA'!A2:A100)</x:f>
        <x:v>7</x:v>
      </x:c>
      <x:c r="C5" s="23" t="str">
        <x:v>Internacionais + Brasil</x:v>
      </x:c>
      <x:c r="E5" t="str">
        <x:v>Bem-sucedida</x:v>
      </x:c>
      <x:c r="F5" t="n">
        <x:f>B8</x:f>
        <x:v>4</x:v>
      </x:c>
    </x:row>
    <x:row r="6">
      <x:c r="A6" s="23" t="str">
        <x:v>Casos internacionais</x:v>
      </x:c>
      <x:c r="B6" s="23" t="n">
        <x:f>COUNTIF('Casos IA'!B2:B100,"Internacional")</x:f>
        <x:v>3</x:v>
      </x:c>
      <x:c r="C6" s="23" t="str">
        <x:v>Inclui IBM Watson, Mayo Clinic e Google DermAssist</x:v>
      </x:c>
      <x:c r="E6" t="str">
        <x:v>Parcial</x:v>
      </x:c>
      <x:c r="F6" t="n">
        <x:f>B9</x:f>
        <x:v>2</x:v>
      </x:c>
    </x:row>
    <x:row r="7">
      <x:c r="A7" s="23" t="str">
        <x:v>Casos brasileiros</x:v>
      </x:c>
      <x:c r="B7" s="23" t="n">
        <x:f>COUNTIF('Casos IA'!B2:B100,"Brasil")</x:f>
        <x:v>4</x:v>
      </x:c>
      <x:c r="C7" s="23" t="str">
        <x:v>Inclui InRad, HCI Ijuí, Robô Laura e Einstein/Hoobox</x:v>
      </x:c>
      <x:c r="E7" t="str">
        <x:v>Problemática</x:v>
      </x:c>
      <x:c r="F7" t="n">
        <x:f>B10</x:f>
        <x:v>1</x:v>
      </x:c>
    </x:row>
    <x:row r="8">
      <x:c r="A8" s="23" t="str">
        <x:v>Bem-sucedidas</x:v>
      </x:c>
      <x:c r="B8" s="23" t="n">
        <x:f>COUNTIF('Casos IA'!H2:H100,"Bem-sucedida")</x:f>
        <x:v>4</x:v>
      </x:c>
      <x:c r="C8" s="23" t="str">
        <x:v>Casos com resultado positivo reportado</x:v>
      </x:c>
    </x:row>
    <x:row r="9">
      <x:c r="A9" s="23" t="str">
        <x:v>Parciais / promissoras</x:v>
      </x:c>
      <x:c r="B9" s="23" t="n">
        <x:f>COUNTIF('Casos IA'!H2:H100,"Parcial")</x:f>
        <x:v>2</x:v>
      </x:c>
      <x:c r="C9" s="23" t="str">
        <x:v>Casos ainda em validação ou sem escala comprovada</x:v>
      </x:c>
    </x:row>
    <x:row r="10">
      <x:c r="A10" s="23" t="str">
        <x:v>Problemáticas</x:v>
      </x:c>
      <x:c r="B10" s="23" t="n">
        <x:f>COUNTIF('Casos IA'!H2:H100,"Problemática")</x:f>
        <x:v>1</x:v>
      </x:c>
      <x:c r="C10" s="23" t="str">
        <x:v>Caso de alerta para governança</x:v>
      </x:c>
    </x:row>
    <x:row r="12">
      <x:c r="A12" s="17" t="str">
        <x:v>Narrativa recomendada para a apresentação</x:v>
      </x:c>
    </x:row>
    <x:row r="13" ht="70" customHeight="1">
      <x:c r="A13" s="28" t="str">
        <x:v>Use IBM Watson como alerta de falha por hype, Mayo Clinic como exemplo de implementação robusta com ensaio pragmático e custo-efetividade, Google DermAssist como caso de promessa parcial/regulatória, e os casos brasileiros para mostrar que o Brasil já tem exemplos reais em radiologia, sepse e fluxo de enfermagem. A mensagem central: IA só gera valor quando integrada ao processo, com métricas, governança e redesign do trabalho.</x:v>
      </x:c>
    </x:row>
    <x:row r="17" ht="45" customHeight="1">
      <x:c r="A17" s="34" t="str">
        <x:v>Nota: a classificação 'bem-sucedida', 'parcial' ou 'problemática' foi feita com base nas fontes públicas disponíveis até 21/06/2026. Para decisões de investimento, validar métricas locais, contratos, infraestrutura e dados de segurança do paciente.</x:v>
      </x:c>
    </x:row>
  </x:sheetData>
  <x:mergeCells>
    <x:mergeCell ref="A1:H1"/>
    <x:mergeCell ref="A2:H2"/>
    <x:mergeCell ref="A12:H12"/>
    <x:mergeCell ref="A13:H15"/>
    <x:mergeCell ref="A17:H17"/>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3" hidden="0" customWidth="1"/>
    <x:col min="3" max="3" width="18" hidden="0" customWidth="1"/>
    <x:col min="4" max="4" width="26" hidden="0" customWidth="1"/>
    <x:col min="5" max="5" width="28" hidden="0" customWidth="1"/>
    <x:col min="6" max="6" width="24" hidden="0" customWidth="1"/>
    <x:col min="7" max="7" width="13" hidden="0" customWidth="1"/>
    <x:col min="8" max="8" width="16" hidden="0" customWidth="1"/>
    <x:col min="9" max="9" width="26" hidden="0" customWidth="1"/>
    <x:col min="10" max="10" width="42" hidden="0" customWidth="1"/>
    <x:col min="11" max="11" width="44" hidden="0" customWidth="1"/>
    <x:col min="12" max="12" width="42" hidden="0" customWidth="1"/>
    <x:col min="13" max="13" width="42" hidden="0" customWidth="1"/>
    <x:col min="14" max="14" width="42" hidden="0" customWidth="1"/>
    <x:col min="15" max="15" width="45" hidden="0" customWidth="1"/>
  </x:cols>
  <x:sheetData>
    <x:row r="1" ht="36" customHeight="1">
      <x:c r="A1" s="39" t="str">
        <x:v>ID</x:v>
      </x:c>
      <x:c r="B1" s="39" t="str">
        <x:v>Escopo</x:v>
      </x:c>
      <x:c r="C1" s="39" t="str">
        <x:v>País/Região</x:v>
      </x:c>
      <x:c r="D1" s="39" t="str">
        <x:v>Organização</x:v>
      </x:c>
      <x:c r="E1" s="39" t="str">
        <x:v>Caso / tecnologia</x:v>
      </x:c>
      <x:c r="F1" s="39" t="str">
        <x:v>Área clínica ou processo</x:v>
      </x:c>
      <x:c r="G1" s="39" t="str">
        <x:v>Ano(s)</x:v>
      </x:c>
      <x:c r="H1" s="39" t="str">
        <x:v>Resultado resumido</x:v>
      </x:c>
      <x:c r="I1" s="39" t="str">
        <x:v>Status didático</x:v>
      </x:c>
      <x:c r="J1" s="39" t="str">
        <x:v>Evidência principal</x:v>
      </x:c>
      <x:c r="K1" s="39" t="str">
        <x:v>Indicadores ou resultado documentado</x:v>
      </x:c>
      <x:c r="L1" s="39" t="str">
        <x:v>Riscos / limitações</x:v>
      </x:c>
      <x:c r="M1" s="39" t="str">
        <x:v>Como usar na apresentação</x:v>
      </x:c>
      <x:c r="N1" s="39" t="str">
        <x:v>Fonte principal</x:v>
      </x:c>
      <x:c r="O1" s="39" t="str">
        <x:v>Fontes adicionais</x:v>
      </x:c>
    </x:row>
    <x:row r="2" ht="95" customHeight="1">
      <x:c r="A2" s="42" t="str">
        <x:v>INT-01</x:v>
      </x:c>
      <x:c r="B2" s="42" t="str">
        <x:v>Internacional</x:v>
      </x:c>
      <x:c r="C2" s="42" t="str">
        <x:v>EUA / global</x:v>
      </x:c>
      <x:c r="D2" s="42" t="str">
        <x:v>IBM + MD Anderson / Memorial Sloan Kettering</x:v>
      </x:c>
      <x:c r="E2" s="42" t="str">
        <x:v>IBM Watson for Oncology</x:v>
      </x:c>
      <x:c r="F2" s="42" t="str">
        <x:v>Oncologia; apoio à decisão clínica</x:v>
      </x:c>
      <x:c r="G2" s="42" t="str">
        <x:v>2013-2018</x:v>
      </x:c>
      <x:c r="H2" s="42" t="str">
        <x:v>Problemática</x:v>
      </x:c>
      <x:c r="I2" s="42" t="str">
        <x:v>Não bem-sucedida / implementação problemática</x:v>
      </x:c>
      <x:c r="J2" s="42" t="str">
        <x:v>Projeto do MD Anderson foi interrompido; reportagens e análises apontam gasto elevado, dificuldade de integração com prontuário e recomendações clínicas questionáveis.</x:v>
      </x:c>
      <x:c r="K2" s="42" t="str">
        <x:v>IEEE Spectrum relata cancelamento após cerca de US$ 62 milhões; STAT reportou exemplos internos de recomendações clínicas inseguras/incorretas.</x:v>
      </x:c>
      <x:c r="L2" s="42" t="str">
        <x:v>Hype comercial; treinamento/curadoria frágil; falta de integração com EHR; confiança excessiva; validação clínica insuficiente antes de escalar.</x:v>
      </x:c>
      <x:c r="M2" s="42" t="str">
        <x:v>Use como alerta: IA clínica não pode ser comprada como produto mágico. Precisa de governança, integração com fluxo real, validação local, auditoria e responsabilização médica.</x:v>
      </x:c>
      <x:c r="N2" s="42" t="str">
        <x:v>https://spectrum.ieee.org/how-ibm-watson-overpromised-and-underdelivered-on-ai-health-care</x:v>
      </x:c>
      <x:c r="O2" s="42" t="str">
        <x:v>https://www.statnews.com/2018/07/25/ibm-watson-recommended-unsafe-incorrect-treatments/ | https://academic.oup.com/jnci/article/109/5/djx113/3847623</x:v>
      </x:c>
    </x:row>
    <x:row r="3" ht="95" customHeight="1">
      <x:c r="A3" s="42" t="str">
        <x:v>INT-02</x:v>
      </x:c>
      <x:c r="B3" s="42" t="str">
        <x:v>Internacional</x:v>
      </x:c>
      <x:c r="C3" s="42" t="str">
        <x:v>EUA</x:v>
      </x:c>
      <x:c r="D3" s="42" t="str">
        <x:v>Mayo Clinic</x:v>
      </x:c>
      <x:c r="E3" s="42" t="str">
        <x:v>AI-ECG / EAGLE Trial para baixa fração de ejeção</x:v>
      </x:c>
      <x:c r="F3" s="42" t="str">
        <x:v>Cardiologia; triagem diagnóstica a partir de ECG</x:v>
      </x:c>
      <x:c r="G3" s="42" t="str">
        <x:v>2021-2024</x:v>
      </x:c>
      <x:c r="H3" s="42" t="str">
        <x:v>Bem-sucedida</x:v>
      </x:c>
      <x:c r="I3" s="42" t="str">
        <x:v>Bem-sucedida / evidência robusta</x:v>
      </x:c>
      <x:c r="J3" s="42" t="str">
        <x:v>Ensaio pragmático em prática real; alerta no prontuário para pacientes com ECG positivo e suspeita de baixa fração de ejeção.</x:v>
      </x:c>
      <x:c r="K3" s="42" t="str">
        <x:v>22.641 adultos; 45 instituições; 348 clínicos; diagnóstico de baixa fração de ejeção aumentou 32% relativo ao cuidado usual; estudo posterior mostrou custo-efetividade.</x:v>
      </x:c>
      <x:c r="L3" s="42" t="str">
        <x:v>Requer integração ao EHR, adesão dos clínicos, confirmação por ecocardiograma e controle para não sobrecarregar a linha de frente.</x:v>
      </x:c>
      <x:c r="M3" s="42" t="str">
        <x:v>Use como exemplo de IA bem implementada: problema bem definido, desfecho mensurável, integração no fluxo e avaliação econômica.</x:v>
      </x:c>
      <x:c r="N3" s="42" t="str">
        <x:v>https://newsnetwork.mayoclinic.org/discussion/trial-demonstrates-early-ai-guided-detection-of-heart-disease-in-routine-practice/</x:v>
      </x:c>
      <x:c r="O3" s="42" t="str">
        <x:v>https://newsnetwork.mayoclinic.org/discussion/research-study-shows-the-cost-effectiveness-of-ai-enhanced-heart-failure-screening/ | https://www.nature.com/articles/s41591-021-01335-4</x:v>
      </x:c>
    </x:row>
    <x:row r="4" ht="95" customHeight="1">
      <x:c r="A4" s="42" t="str">
        <x:v>INT-03</x:v>
      </x:c>
      <x:c r="B4" s="42" t="str">
        <x:v>Internacional</x:v>
      </x:c>
      <x:c r="C4" s="42" t="str">
        <x:v>União Europeia / não disponível nos EUA</x:v>
      </x:c>
      <x:c r="D4" s="42" t="str">
        <x:v>Google Health</x:v>
      </x:c>
      <x:c r="E4" s="42" t="str">
        <x:v>Google DermAssist / ferramenta de IA dermatológica</x:v>
      </x:c>
      <x:c r="F4" s="42" t="str">
        <x:v>Dermatologia; orientação informacional ao paciente</x:v>
      </x:c>
      <x:c r="G4" s="42" t="str">
        <x:v>2021-2024</x:v>
      </x:c>
      <x:c r="H4" s="42" t="str">
        <x:v>Parcial</x:v>
      </x:c>
      <x:c r="I4" s="42" t="str">
        <x:v>Parcial / validação e adoção limitadas</x:v>
      </x:c>
      <x:c r="J4" s="42" t="str">
        <x:v>Google anunciou ferramenta web que usa fotos e sintomas para sugerir possíveis condições dermatológicas; CE Mark Classe I na UE; não é diagnóstico e não foi avaliada pela FDA.</x:v>
      </x:c>
      <x:c r="K4" s="42" t="str">
        <x:v>Modelo cobre 288 condições; Google informa uso de dados desidentificados e cerca de 65 mil imagens/casos; WIRED destacou falta de validação clínica ampla e riscos regulatórios nos EUA.</x:v>
      </x:c>
      <x:c r="L4" s="42" t="str">
        <x:v>Risco de viés por tom de pele; baixa evidência de deployment real; risco de autodiagnóstico, ansiedade, falso negativo/falso positivo e uso direto pelo consumidor.</x:v>
      </x:c>
      <x:c r="M4" s="42" t="str">
        <x:v>Use como caso de promessa técnica que ainda exige validação em mundo real, diversidade de dados, regulação e desenho cuidadoso da comunicação ao paciente.</x:v>
      </x:c>
      <x:c r="N4" s="42" t="str">
        <x:v>https://blog.google/innovation-and-ai/technology/health/ai-dermatology-preview-io-2021/</x:v>
      </x:c>
      <x:c r="O4" s="42" t="str">
        <x:v>https://www.wired.com/story/google-launches-medical-app-outside-us/ | https://arxiv.org/abs/2111.08006</x:v>
      </x:c>
    </x:row>
    <x:row r="5" ht="95" customHeight="1">
      <x:c r="A5" s="42" t="str">
        <x:v>BRA-01</x:v>
      </x:c>
      <x:c r="B5" s="42" t="str">
        <x:v>Brasil</x:v>
      </x:c>
      <x:c r="C5" s="42" t="str">
        <x:v>São Paulo, Brasil</x:v>
      </x:c>
      <x:c r="D5" s="42" t="str">
        <x:v>InRad / HC-FMUSP + InovaHC</x:v>
      </x:c>
      <x:c r="E5" s="42" t="str">
        <x:v>Laboratório de IA generativa para laudos radiológicos</x:v>
      </x:c>
      <x:c r="F5" s="42" t="str">
        <x:v>Radiologia; pré-laudo, laudo e pós-laudo</x:v>
      </x:c>
      <x:c r="G5" s="42" t="str">
        <x:v>2024</x:v>
      </x:c>
      <x:c r="H5" s="42" t="str">
        <x:v>Parcial</x:v>
      </x:c>
      <x:c r="I5" s="42" t="str">
        <x:v>Inicial / promissora</x:v>
      </x:c>
      <x:c r="J5" s="42" t="str">
        <x:v>Reportagem do Jornal da USP informa uso de IA generativa para tornar laudos mais ágeis, padronizar relatórios e melhorar fluxo de pacientes.</x:v>
      </x:c>
      <x:c r="K5" s="42" t="str">
        <x:v>A matéria cita potencial de apoiar cerca de 30 mil laudos/ano no complexo do HC; não traz ainda métricas de resultado pós-implementação.</x:v>
      </x:c>
      <x:c r="L5" s="42" t="str">
        <x:v>Ainda é caso de laboratório/implantação; não há evidência pública de impacto em recepção, estacionamento ou eventos clínicos downstream.</x:v>
      </x:c>
      <x:c r="M5" s="42" t="str">
        <x:v>Use como caso brasileiro de adoção institucional em radiologia, com foco em redesenho de processo e alerta sobre efeito dominó operacional.</x:v>
      </x:c>
      <x:c r="N5" s="42" t="str">
        <x:v>https://jornal.usp.br/radio-usp/uso-da-ia-no-instituto-de-radiologia-da-usp-permitira-laudos-mais-ageis/</x:v>
      </x:c>
      <x:c r="O5" s="42" t="str">
        <x:v>https://medicinasa.com.br/ready-inrad/</x:v>
      </x:c>
    </x:row>
    <x:row r="6" ht="95" customHeight="1">
      <x:c r="A6" s="42" t="str">
        <x:v>BRA-02</x:v>
      </x:c>
      <x:c r="B6" s="42" t="str">
        <x:v>Brasil</x:v>
      </x:c>
      <x:c r="C6" s="42" t="str">
        <x:v>Ijuí, RS, Brasil</x:v>
      </x:c>
      <x:c r="D6" s="42" t="str">
        <x:v>Hospital de Clínicas Ijuí (HCI)</x:v>
      </x:c>
      <x:c r="E6" s="42" t="str">
        <x:v>IA aplicada à ressonância magnética</x:v>
      </x:c>
      <x:c r="F6" s="42" t="str">
        <x:v>Imagem diagnóstica; ressonância magnética</x:v>
      </x:c>
      <x:c r="G6" s="42" t="str">
        <x:v>2026</x:v>
      </x:c>
      <x:c r="H6" s="42" t="str">
        <x:v>Bem-sucedida</x:v>
      </x:c>
      <x:c r="I6" s="42" t="str">
        <x:v>Bem-sucedida / operacional reportada</x:v>
      </x:c>
      <x:c r="J6" s="42" t="str">
        <x:v>HCI anunciou implantação de IA na ressonância magnética para reduzir tempo de exame mantendo qualidade de imagem.</x:v>
      </x:c>
      <x:c r="K6" s="42" t="str">
        <x:v>Reportagens informam redução de até 50% no tempo; exames que antes levavam 15-20 min podem ser concluídos em 5-10 min.</x:v>
      </x:c>
      <x:c r="L6" s="42" t="str">
        <x:v>Fonte é institucional/jornalística; faltam indicadores independentes de downstream, satisfação do paciente, fila, receita, fluxo e segurança.</x:v>
      </x:c>
      <x:c r="M6" s="42" t="str">
        <x:v>Use como caso brasileiro concreto de throughput: quando a IA acelera exame, a agenda, recepção, laudo e pós-atendimento precisam ser redesenhados.</x:v>
      </x:c>
      <x:c r="N6" s="42" t="str">
        <x:v>https://hci.org.br/pioneiro-no-interior-do-rs-hci-implanta-inteligencia-artificial-na-ressonancia-magnetica-e-agiliza-exames-em-ate-50/</x:v>
      </x:c>
      <x:c r="O6" s="42" t="str">
        <x:v>https://www.jornaldocomercio.com/jornal-cidades/2026/06/1251444-hospital-de-ijui-implementa-ia-em-ressonancia-magnetica.html | https://radioprogresso.com.br/pioneiro-no-interior-do-rs-hci-implanta-inteligencia-artificial-na-ressonancia-magnetica-e-agiliza-exames-em-ate-50/</x:v>
      </x:c>
    </x:row>
    <x:row r="7" ht="95" customHeight="1">
      <x:c r="A7" s="42" t="str">
        <x:v>BRA-03</x:v>
      </x:c>
      <x:c r="B7" s="42" t="str">
        <x:v>Brasil</x:v>
      </x:c>
      <x:c r="C7" s="42" t="str">
        <x:v>Curitiba/PR e outros hospitais brasileiros</x:v>
      </x:c>
      <x:c r="D7" s="42" t="str">
        <x:v>Robô Laura / hospitais como Nossa Senhora das Graças, Pequeno Príncipe e Santa Casa de Londrina</x:v>
      </x:c>
      <x:c r="E7" s="42" t="str">
        <x:v>Robô Laura para detecção precoce de sepse e risco clínico</x:v>
      </x:c>
      <x:c r="F7" s="42" t="str">
        <x:v>Segurança do paciente; sepse; deterioração clínica</x:v>
      </x:c>
      <x:c r="G7" s="42" t="str">
        <x:v>2016-2022</x:v>
      </x:c>
      <x:c r="H7" s="42" t="str">
        <x:v>Bem-sucedida</x:v>
      </x:c>
      <x:c r="I7" s="42" t="str">
        <x:v>Bem-sucedida com cautela</x:v>
      </x:c>
      <x:c r="J7" s="42" t="str">
        <x:v>Algoritmo brasileiro de IA/machine learning monitora sinais vitais e exames para alertar risco de sepse; há publicação sobre implantação em hospital e reportagens com resultados operacionais.</x:v>
      </x:c>
      <x:c r="K7" s="42" t="str">
        <x:v>Fonte pública de Curitiba relata queda do tempo entre diagnóstico e antibiótico de 13h para 2h58; Santa Casa Londrina reportou 545 alertas em 4 meses e redução de 50% de óbitos no setor piloto comparado ao ano anterior.</x:v>
      </x:c>
      <x:c r="L7" s="42" t="str">
        <x:v>Muitos resultados são institucionais/observacionais; requer auditoria de falsos positivos, fadiga de alerta, calibração local e transparência do modelo.</x:v>
      </x:c>
      <x:c r="M7" s="42" t="str">
        <x:v>Use como exemplo nacional positivo de IA clínica quando conectada a protocolo assistencial, equipe treinada e resposta rápida — não apenas alerta tecnológico.</x:v>
      </x:c>
      <x:c r="N7" s="42" t="str">
        <x:v>https://www.scielo.br/j/reben/a/DB8459YKwtVth4YX8vqxTJp/?lang=pt</x:v>
      </x:c>
      <x:c r="O7" s="42" t="str">
        <x:v>https://www.curitiba.pr.leg.br/informacao/noticias/tribuna-livre-curitiba-tem-robo-salvando-vidas-dentro-de-hospitais | https://portalhospitaisbrasil.com.br/saude-4-0-hospitais-investem-em-inteligencia-artificial-para-otimizar-atendimento-e-reduzem-indices-de-morte/</x:v>
      </x:c>
    </x:row>
    <x:row r="8" ht="95" customHeight="1">
      <x:c r="A8" s="42" t="str">
        <x:v>BRA-04</x:v>
      </x:c>
      <x:c r="B8" s="42" t="str">
        <x:v>Brasil</x:v>
      </x:c>
      <x:c r="C8" s="42" t="str">
        <x:v>São Paulo, Brasil</x:v>
      </x:c>
      <x:c r="D8" s="42" t="str">
        <x:v>Hospital Israelita Albert Einstein + HOOBOX / Eretz.bio</x:v>
      </x:c>
      <x:c r="E8" s="42" t="str">
        <x:v>Neonpass Room: IA para roteamento de solicitações de pacientes</x:v>
      </x:c>
      <x:c r="F8" s="42" t="str">
        <x:v>Enfermagem; fluxo de trabalho; hotelaria/manutenção/assistência</x:v>
      </x:c>
      <x:c r="G8" s="42" t="str">
        <x:v>2025</x:v>
      </x:c>
      <x:c r="H8" s="42" t="str">
        <x:v>Bem-sucedida</x:v>
      </x:c>
      <x:c r="I8" s="42" t="str">
        <x:v>Bem-sucedida / estudo revisado por pares</x:v>
      </x:c>
      <x:c r="J8" s="42" t="str">
        <x:v>Estudo observacional retrospectivo avaliou plataforma de IA para classificar solicitações de pacientes e direcioná-las ao time correto, reduzindo demanda indevida sobre enfermagem.</x:v>
      </x:c>
      <x:c r="K8" s="42" t="str">
        <x:v>Durante 30 dias, 2.113 solicitações foram registradas; apenas 35,4% exigiram atenção de enfermagem; o restante foi direcionado a limpeza, manutenção ou outros times.</x:v>
      </x:c>
      <x:c r="L8" s="42" t="str">
        <x:v>Estudo curto e focado em fluxo; ainda exige avaliação longitudinal de segurança, satisfação, custo, integração e impacto real no tempo de cuidado direto.</x:v>
      </x:c>
      <x:c r="M8" s="42" t="str">
        <x:v>Use como caso brasileiro de IA operacional: grande ganho vem de remover tarefas não clínicas da enfermagem e medir o fluxo por tipo de demanda.</x:v>
      </x:c>
      <x:c r="N8" s="42" t="str">
        <x:v>https://journals.lww.com/ajnonline/fulltext/2025/05000/using_an_ai_powered_solution_to_transform_nursing.20.aspx</x:v>
      </x:c>
      <x:c r="O8" s="42" t="str">
        <x:v>https://pubmed.ncbi.nlm.nih.gov/40269426/ | https://www.eretz.bio/en/blog/how-artificial-intelligence-is-redesigning-nursing-workflows-and-giving-time-back-to-patient-care/</x:v>
      </x:c>
    </x:row>
  </x:sheetData>
  <x:conditionalFormatting sqref="H2:H8">
    <x:cfRule type="expression" dxfId="0" priority="1">
      <x:formula>H2="Bem-sucedida"</x:formula>
    </x:cfRule>
    <x:cfRule type="expression" dxfId="1" priority="2">
      <x:formula>H2="Parcial"</x:formula>
    </x:cfRule>
    <x:cfRule type="expression" dxfId="2" priority="3">
      <x:formula>H2="Problemática"</x:formula>
    </x:cfRule>
  </x:conditionalFormatting>
  <x:dataValidations count="2">
    <x:dataValidation type="list" sqref="H2:H8">
      <x:formula1>"Bem-sucedida,Parcial,Problemática"</x:formula1>
    </x:dataValidation>
    <x:dataValidation type="list" sqref="B2:B8">
      <x:formula1>"Internacional,Brasil"</x:formula1>
    </x:dataValidation>
  </x:dataValidations>
  <x:pageMargins left="0.7" right="0.7" top="0.75" bottom="0.75" header="0.3" footer="0.3"/>
  <x:tableParts count="1">
    <x:tablePart xmlns:r="http://schemas.openxmlformats.org/officeDocument/2006/relationships" r:id="Re90a7a2c262b40ed"/>
  </x:tableParts>
</x:worksheet>
</file>

<file path=xl/worksheets/sheet3.xml><?xml version="1.0" encoding="utf-8"?>
<x:worksheet xmlns:x="http://schemas.openxmlformats.org/spreadsheetml/2006/main">
  <x:sheetFormatPr defaultRowHeight="15"/>
  <x:cols>
    <x:col min="1" max="1" width="12" hidden="0" customWidth="1"/>
    <x:col min="2" max="2" width="32" hidden="0" customWidth="1"/>
    <x:col min="3" max="3" width="30" hidden="0" customWidth="1"/>
    <x:col min="4" max="4" width="42" hidden="0" customWidth="1"/>
    <x:col min="5" max="5" width="40" hidden="0" customWidth="1"/>
    <x:col min="6" max="6" width="40" hidden="0" customWidth="1"/>
    <x:col min="7" max="7" width="55" hidden="0" customWidth="1"/>
  </x:cols>
  <x:sheetData>
    <x:row r="1" ht="36" customHeight="1">
      <x:c r="A1" s="39" t="str">
        <x:v>ID</x:v>
      </x:c>
      <x:c r="B1" s="39" t="str">
        <x:v>Cenário original</x:v>
      </x:c>
      <x:c r="C1" s="39" t="str">
        <x:v>Caso brasileiro real</x:v>
      </x:c>
      <x:c r="D1" s="39" t="str">
        <x:v>Evidência documentada</x:v>
      </x:c>
      <x:c r="E1" s="39" t="str">
        <x:v>O que sustenta</x:v>
      </x:c>
      <x:c r="F1" s="39" t="str">
        <x:v>Limitação / cuidado</x:v>
      </x:c>
      <x:c r="G1" s="39" t="str">
        <x:v>URLs de apoio</x:v>
      </x:c>
    </x:row>
    <x:row r="2" ht="110" customHeight="1">
      <x:c r="A2" s="42" t="str">
        <x:v>OP-BR-01</x:v>
      </x:c>
      <x:c r="B2" s="42" t="str">
        <x:v>IA de laudos de ressonância e efeito dominó operacional</x:v>
      </x:c>
      <x:c r="C2" s="42" t="str">
        <x:v>InRad/HC-FMUSP + HCI Ijuí</x:v>
      </x:c>
      <x:c r="D2" s="42" t="str">
        <x:v>InRad/HC-FMUSP: IA generativa para laudos mais ágeis e fluxo; HCI Ijuí: IA na RM reduz tempo de exame em até 50%.</x:v>
      </x:c>
      <x:c r="E2" s="42" t="str">
        <x:v>Sustenta aceleração de throughput em imagem e necessidade de redesenhar recepção, agenda, laudo, comunicação com paciente e pós-laudo.</x:v>
      </x:c>
      <x:c r="F2" s="42" t="str">
        <x:v>Não há fonte brasileira provando colapso de recepção/estacionamento; tratar como inferência operacional a ser testada por dados locais.</x:v>
      </x:c>
      <x:c r="G2" s="42" t="str">
        <x:v>https://jornal.usp.br/radio-usp/uso-da-ia-no-instituto-de-radiologia-da-usp-permitira-laudos-mais-ageis/ | https://hci.org.br/pioneiro-no-interior-do-rs-hci-implanta-inteligencia-artificial-na-ressonancia-magnetica-e-agiliza-exames-em-ate-50/</x:v>
      </x:c>
    </x:row>
    <x:row r="3" ht="110" customHeight="1">
      <x:c r="A3" s="42" t="str">
        <x:v>OP-BR-02</x:v>
      </x:c>
      <x:c r="B3" s="42" t="str">
        <x:v>Telemetria em leitos de enfermaria e custo oculto de rede</x:v>
      </x:c>
      <x:c r="C3" s="42" t="str">
        <x:v>Hospital Regional de Sobradinho, DF</x:v>
      </x:c>
      <x:c r="D3" s="42" t="str">
        <x:v>Reforma de UTI com monitoramento central, telemetria, leitos de isolamento e pontos de diálise; investimento total informado de R$ 1,5 milhão.</x:v>
      </x:c>
      <x:c r="E3" s="42" t="str">
        <x:v>Sustenta que telemetria/monitoramento exige infraestrutura, monitoramento central e adequação física/operacional, não apenas compra de sensores.</x:v>
      </x:c>
      <x:c r="F3" s="42" t="str">
        <x:v>Caso é UTI, não enfermaria; não prova upgrade de rede não planejado. Usar como evidência de investimento estrutural e como alerta de business case.</x:v>
      </x:c>
      <x:c r="G3" s="42" t="str">
        <x:v>https://www.correiobraziliense.com.br/cidades-df/2026/06/7441941-uti-do-hospital-regional-de-sobradinho-e-reinaugurada-apos-reforma.html</x:v>
      </x:c>
    </x:row>
    <x:row r="4" ht="110" customHeight="1">
      <x:c r="A4" s="42" t="str">
        <x:v>OP-BR-03</x:v>
      </x:c>
      <x:c r="B4" s="42" t="str">
        <x:v>Automação de farmácia e riscos invisíveis</x:v>
      </x:c>
      <x:c r="C4" s="42" t="str">
        <x:v>Santa Casa de Misericórdia de Porto Alegre + estudos brasileiros de perdas/glosas</x:v>
      </x:c>
      <x:c r="D4" s="42" t="str">
        <x:v>Implantação de dispensário eletrônico em UTI; redução de consumo, devoluções e cálculo de retorno do investimento; estudos brasileiros complementam perdas, devoluções e glosas.</x:v>
      </x:c>
      <x:c r="E4" s="42" t="str">
        <x:v>Sustenta quantificação de perdas invisíveis: devolução, consumo, estoque, compras emergenciais, retrabalho e ROI.</x:v>
      </x:c>
      <x:c r="F4" s="42" t="str">
        <x:v>O estudo principal não mede diretamente jurídico/glosas; glosas precisam de fonte complementar e dados financeiros locais.</x:v>
      </x:c>
      <x:c r="G4" s="42" t="str">
        <x:v>https://jhphs.org/sbrafh/article/download/381/359/725 | https://revistas.ufpr.br/rcc/article/download/93128/75661/440863 | https://doi.org/10.21115/jbes.v14.n3.p210-216</x:v>
      </x:c>
    </x:row>
  </x:sheetData>
  <x:pageMargins left="0.7" right="0.7" top="0.75" bottom="0.75" header="0.3" footer="0.3"/>
  <x:tableParts count="1">
    <x:tablePart xmlns:r="http://schemas.openxmlformats.org/officeDocument/2006/relationships" r:id="R783b9d2293ac4445"/>
  </x:tableParts>
</x:worksheet>
</file>

<file path=xl/worksheets/sheet4.xml><?xml version="1.0" encoding="utf-8"?>
<x:worksheet xmlns:x="http://schemas.openxmlformats.org/spreadsheetml/2006/main">
  <x:sheetFormatPr defaultRowHeight="15"/>
  <x:cols>
    <x:col min="1" max="1" width="10" hidden="0" customWidth="1"/>
    <x:col min="2" max="2" width="14" hidden="0" customWidth="1"/>
    <x:col min="3" max="3" width="30" hidden="0" customWidth="1"/>
    <x:col min="4" max="4" width="18" hidden="0" customWidth="1"/>
    <x:col min="5" max="5" width="14" hidden="0" customWidth="1"/>
    <x:col min="6" max="6" width="58" hidden="0" customWidth="1"/>
    <x:col min="7" max="7" width="45" hidden="0" customWidth="1"/>
  </x:cols>
  <x:sheetData>
    <x:row r="1" ht="36" customHeight="1">
      <x:c r="A1" s="39" t="str">
        <x:v>ID fonte</x:v>
      </x:c>
      <x:c r="B1" s="39" t="str">
        <x:v>Relacionado a</x:v>
      </x:c>
      <x:c r="C1" s="39" t="str">
        <x:v>Título curto</x:v>
      </x:c>
      <x:c r="D1" s="39" t="str">
        <x:v>Tipo</x:v>
      </x:c>
      <x:c r="E1" s="39" t="str">
        <x:v>Ano/Data</x:v>
      </x:c>
      <x:c r="F1" s="39" t="str">
        <x:v>URL</x:v>
      </x:c>
      <x:c r="G1" s="39" t="str">
        <x:v>Uso na planilha</x:v>
      </x:c>
    </x:row>
    <x:row r="2" ht="55" customHeight="1">
      <x:c r="A2" s="42" t="str">
        <x:v>F01</x:v>
      </x:c>
      <x:c r="B2" s="42" t="str">
        <x:v>INT-01</x:v>
      </x:c>
      <x:c r="C2" s="42" t="str">
        <x:v>IEEE Spectrum - IBM Watson overpromised</x:v>
      </x:c>
      <x:c r="D2" s="42" t="str">
        <x:v>Reportagem/análise</x:v>
      </x:c>
      <x:c r="E2" s="42" t="str">
        <x:v>2019</x:v>
      </x:c>
      <x:c r="F2" s="42" t="str">
        <x:v>https://spectrum.ieee.org/how-ibm-watson-overpromised-and-underdelivered-on-ai-health-care</x:v>
      </x:c>
      <x:c r="G2" s="42" t="str">
        <x:v>Base para classificar Watson como implementação problemática e citar cancelamento/gastos.</x:v>
      </x:c>
    </x:row>
    <x:row r="3" ht="55" customHeight="1">
      <x:c r="A3" s="42" t="str">
        <x:v>F02</x:v>
      </x:c>
      <x:c r="B3" s="42" t="str">
        <x:v>INT-01</x:v>
      </x:c>
      <x:c r="C3" s="42" t="str">
        <x:v>STAT - Watson recomendações inseguras</x:v>
      </x:c>
      <x:c r="D3" s="42" t="str">
        <x:v>Reportagem investigativa</x:v>
      </x:c>
      <x:c r="E3" s="42" t="str">
        <x:v>2018</x:v>
      </x:c>
      <x:c r="F3" s="42" t="str">
        <x:v>https://www.statnews.com/2018/07/25/ibm-watson-recommended-unsafe-incorrect-treatments/</x:v>
      </x:c>
      <x:c r="G3" s="42" t="str">
        <x:v>Apoia risco clínico e recomendações inconsistentes.</x:v>
      </x:c>
    </x:row>
    <x:row r="4" ht="55" customHeight="1">
      <x:c r="A4" s="42" t="str">
        <x:v>F03</x:v>
      </x:c>
      <x:c r="B4" s="42" t="str">
        <x:v>INT-01</x:v>
      </x:c>
      <x:c r="C4" s="42" t="str">
        <x:v>JNCI - MD Anderson breaks with IBM Watson</x:v>
      </x:c>
      <x:c r="D4" s="42" t="str">
        <x:v>Artigo/notícia científica</x:v>
      </x:c>
      <x:c r="E4" s="42" t="str">
        <x:v>2017</x:v>
      </x:c>
      <x:c r="F4" s="42" t="str">
        <x:v>https://academic.oup.com/jnci/article/109/5/djx113/3847623</x:v>
      </x:c>
      <x:c r="G4" s="42" t="str">
        <x:v>Contexto institucional e questionamentos sobre IA em oncologia.</x:v>
      </x:c>
    </x:row>
    <x:row r="5" ht="55" customHeight="1">
      <x:c r="A5" s="42" t="str">
        <x:v>F04</x:v>
      </x:c>
      <x:c r="B5" s="42" t="str">
        <x:v>INT-02</x:v>
      </x:c>
      <x:c r="C5" s="42" t="str">
        <x:v>Mayo Clinic - EAGLE trial</x:v>
      </x:c>
      <x:c r="D5" s="42" t="str">
        <x:v>Release institucional com estudo</x:v>
      </x:c>
      <x:c r="E5" s="42" t="str">
        <x:v>2021</x:v>
      </x:c>
      <x:c r="F5" s="42" t="str">
        <x:v>https://newsnetwork.mayoclinic.org/discussion/trial-demonstrates-early-ai-guided-detection-of-heart-disease-in-routine-practice/</x:v>
      </x:c>
      <x:c r="G5" s="42" t="str">
        <x:v>Métricas do ensaio real-world: 22.641 adultos, 45 instituições, 32% aumento relativo.</x:v>
      </x:c>
    </x:row>
    <x:row r="6" ht="55" customHeight="1">
      <x:c r="A6" s="42" t="str">
        <x:v>F05</x:v>
      </x:c>
      <x:c r="B6" s="42" t="str">
        <x:v>INT-02</x:v>
      </x:c>
      <x:c r="C6" s="42" t="str">
        <x:v>Mayo Clinic - custo-efetividade AI-ECG</x:v>
      </x:c>
      <x:c r="D6" s="42" t="str">
        <x:v>Release institucional com estudo</x:v>
      </x:c>
      <x:c r="E6" s="42" t="str">
        <x:v>2024</x:v>
      </x:c>
      <x:c r="F6" s="42" t="str">
        <x:v>https://newsnetwork.mayoclinic.org/discussion/research-study-shows-the-cost-effectiveness-of-ai-enhanced-heart-failure-screening/</x:v>
      </x:c>
      <x:c r="G6" s="42" t="str">
        <x:v>Apoia avaliação econômica e maturidade de implementação.</x:v>
      </x:c>
    </x:row>
    <x:row r="7" ht="55" customHeight="1">
      <x:c r="A7" s="42" t="str">
        <x:v>F06</x:v>
      </x:c>
      <x:c r="B7" s="42" t="str">
        <x:v>INT-03</x:v>
      </x:c>
      <x:c r="C7" s="42" t="str">
        <x:v>Google DermAssist blog</x:v>
      </x:c>
      <x:c r="D7" s="42" t="str">
        <x:v>Fonte primária da empresa</x:v>
      </x:c>
      <x:c r="E7" s="42" t="str">
        <x:v>2021</x:v>
      </x:c>
      <x:c r="F7" s="42" t="str">
        <x:v>https://blog.google/innovation-and-ai/technology/health/ai-dermatology-preview-io-2021/</x:v>
      </x:c>
      <x:c r="G7" s="42" t="str">
        <x:v>CE Mark Classe I, não diagnóstico, não disponível nos EUA, 288 condições.</x:v>
      </x:c>
    </x:row>
    <x:row r="8" ht="55" customHeight="1">
      <x:c r="A8" s="42" t="str">
        <x:v>F07</x:v>
      </x:c>
      <x:c r="B8" s="42" t="str">
        <x:v>INT-03</x:v>
      </x:c>
      <x:c r="C8" s="42" t="str">
        <x:v>WIRED - Google medical app outside US</x:v>
      </x:c>
      <x:c r="D8" s="42" t="str">
        <x:v>Reportagem</x:v>
      </x:c>
      <x:c r="E8" s="42" t="str">
        <x:v>2021</x:v>
      </x:c>
      <x:c r="F8" s="42" t="str">
        <x:v>https://www.wired.com/story/google-launches-medical-app-outside-us/</x:v>
      </x:c>
      <x:c r="G8" s="42" t="str">
        <x:v>Cautelas regulatórias e falta de validação clínica ampla em mundo real.</x:v>
      </x:c>
    </x:row>
    <x:row r="9" ht="55" customHeight="1">
      <x:c r="A9" s="42" t="str">
        <x:v>F08</x:v>
      </x:c>
      <x:c r="B9" s="42" t="str">
        <x:v>INT-03</x:v>
      </x:c>
      <x:c r="C9" s="42" t="str">
        <x:v>DDI dermatology AI disparities</x:v>
      </x:c>
      <x:c r="D9" s="42" t="str">
        <x:v>Preprint/estudo</x:v>
      </x:c>
      <x:c r="E9" s="42" t="str">
        <x:v>2021</x:v>
      </x:c>
      <x:c r="F9" s="42" t="str">
        <x:v>https://arxiv.org/abs/2111.08006</x:v>
      </x:c>
      <x:c r="G9" s="42" t="str">
        <x:v>Apoia risco de viés por tom de pele e performance desigual.</x:v>
      </x:c>
    </x:row>
    <x:row r="10" ht="55" customHeight="1">
      <x:c r="A10" s="42" t="str">
        <x:v>F09</x:v>
      </x:c>
      <x:c r="B10" s="42" t="str">
        <x:v>BRA-01</x:v>
      </x:c>
      <x:c r="C10" s="42" t="str">
        <x:v>Jornal USP - InRad IA laudos</x:v>
      </x:c>
      <x:c r="D10" s="42" t="str">
        <x:v>Reportagem institucional</x:v>
      </x:c>
      <x:c r="E10" s="42" t="str">
        <x:v>2024</x:v>
      </x:c>
      <x:c r="F10" s="42" t="str">
        <x:v>https://jornal.usp.br/radio-usp/uso-da-ia-no-instituto-de-radiologia-da-usp-permitira-laudos-mais-ageis/</x:v>
      </x:c>
      <x:c r="G10" s="42" t="str">
        <x:v>Caso brasileiro de IA generativa em laudos radiológicos.</x:v>
      </x:c>
    </x:row>
    <x:row r="11" ht="55" customHeight="1">
      <x:c r="A11" s="42" t="str">
        <x:v>F10</x:v>
      </x:c>
      <x:c r="B11" s="42" t="str">
        <x:v>BRA-02</x:v>
      </x:c>
      <x:c r="C11" s="42" t="str">
        <x:v>HCI Ijuí IA ressonância</x:v>
      </x:c>
      <x:c r="D11" s="42" t="str">
        <x:v>Fonte institucional</x:v>
      </x:c>
      <x:c r="E11" s="42" t="str">
        <x:v>2026</x:v>
      </x:c>
      <x:c r="F11" s="42" t="str">
        <x:v>https://hci.org.br/pioneiro-no-interior-do-rs-hci-implanta-inteligencia-artificial-na-ressonancia-magnetica-e-agiliza-exames-em-ate-50/</x:v>
      </x:c>
      <x:c r="G11" s="42" t="str">
        <x:v>Caso brasileiro de IA em RM reduzindo tempo de exame.</x:v>
      </x:c>
    </x:row>
    <x:row r="12" ht="55" customHeight="1">
      <x:c r="A12" s="42" t="str">
        <x:v>F11</x:v>
      </x:c>
      <x:c r="B12" s="42" t="str">
        <x:v>BRA-03</x:v>
      </x:c>
      <x:c r="C12" s="42" t="str">
        <x:v>REBEn - implantação Robô Laura</x:v>
      </x:c>
      <x:c r="D12" s="42" t="str">
        <x:v>Artigo científico</x:v>
      </x:c>
      <x:c r="E12" s="42" t="str">
        <x:v>2020</x:v>
      </x:c>
      <x:c r="F12" s="42" t="str">
        <x:v>https://www.scielo.br/j/reben/a/DB8459YKwtVth4YX8vqxTJp/?lang=pt</x:v>
      </x:c>
      <x:c r="G12" s="42" t="str">
        <x:v>Publicação nacional sobre implantação de algoritmo de IA para sepse.</x:v>
      </x:c>
    </x:row>
    <x:row r="13" ht="55" customHeight="1">
      <x:c r="A13" s="42" t="str">
        <x:v>F12</x:v>
      </x:c>
      <x:c r="B13" s="42" t="str">
        <x:v>BRA-03</x:v>
      </x:c>
      <x:c r="C13" s="42" t="str">
        <x:v>Curitiba Câmara - Robô Laura</x:v>
      </x:c>
      <x:c r="D13" s="42" t="str">
        <x:v>Fonte pública institucional</x:v>
      </x:c>
      <x:c r="E13" s="42" t="str">
        <x:v>2017</x:v>
      </x:c>
      <x:c r="F13" s="42" t="str">
        <x:v>https://www.curitiba.pr.leg.br/informacao/noticias/tribuna-livre-curitiba-tem-robo-salvando-vidas-dentro-de-hospitais</x:v>
      </x:c>
      <x:c r="G13" s="42" t="str">
        <x:v>Métrica operacional: tempo até antibiótico reduzido de 13h para 2h58.</x:v>
      </x:c>
    </x:row>
    <x:row r="14" ht="55" customHeight="1">
      <x:c r="A14" s="42" t="str">
        <x:v>F13</x:v>
      </x:c>
      <x:c r="B14" s="42" t="str">
        <x:v>BRA-03</x:v>
      </x:c>
      <x:c r="C14" s="42" t="str">
        <x:v>Portal Hospitais Brasil - Santa Casa Londrina</x:v>
      </x:c>
      <x:c r="D14" s="42" t="str">
        <x:v>Reportagem setorial</x:v>
      </x:c>
      <x:c r="E14" s="42" t="str">
        <x:v>2019</x:v>
      </x:c>
      <x:c r="F14" s="42" t="str">
        <x:v>https://portalhospitaisbrasil.com.br/saude-4-0-hospitais-investem-em-inteligencia-artificial-para-otimizar-atendimento-e-reduzem-indices-de-morte/</x:v>
      </x:c>
      <x:c r="G14" s="42" t="str">
        <x:v>Alertas e redução de óbitos no setor piloto.</x:v>
      </x:c>
    </x:row>
    <x:row r="15" ht="55" customHeight="1">
      <x:c r="A15" s="42" t="str">
        <x:v>F14</x:v>
      </x:c>
      <x:c r="B15" s="42" t="str">
        <x:v>BRA-04</x:v>
      </x:c>
      <x:c r="C15" s="42" t="str">
        <x:v>AJN - Neonpass Room Einstein</x:v>
      </x:c>
      <x:c r="D15" s="42" t="str">
        <x:v>Artigo científico</x:v>
      </x:c>
      <x:c r="E15" s="42" t="str">
        <x:v>2025</x:v>
      </x:c>
      <x:c r="F15" s="42" t="str">
        <x:v>https://journals.lww.com/ajnonline/fulltext/2025/05000/using_an_ai_powered_solution_to_transform_nursing.20.aspx</x:v>
      </x:c>
      <x:c r="G15" s="42" t="str">
        <x:v>IA operacional em enfermagem com roteamento de solicitações.</x:v>
      </x:c>
    </x:row>
    <x:row r="16" ht="55" customHeight="1">
      <x:c r="A16" s="42" t="str">
        <x:v>F15</x:v>
      </x:c>
      <x:c r="B16" s="42" t="str">
        <x:v>OP-BR-02</x:v>
      </x:c>
      <x:c r="C16" s="42" t="str">
        <x:v>Correio Braziliense - telemetria Sobradinho</x:v>
      </x:c>
      <x:c r="D16" s="42" t="str">
        <x:v>Reportagem</x:v>
      </x:c>
      <x:c r="E16" s="42" t="str">
        <x:v>2026</x:v>
      </x:c>
      <x:c r="F16" s="42" t="str">
        <x:v>https://www.correiobraziliense.com.br/cidades-df/2026/06/7441941-uti-do-hospital-regional-de-sobradinho-e-reinaugurada-apos-reforma.html</x:v>
      </x:c>
      <x:c r="G16" s="42" t="str">
        <x:v>Caso brasileiro com investimento estrutural em monitoramento central/telemetria.</x:v>
      </x:c>
    </x:row>
    <x:row r="17" ht="55" customHeight="1">
      <x:c r="A17" s="42" t="str">
        <x:v>F16</x:v>
      </x:c>
      <x:c r="B17" s="42" t="str">
        <x:v>OP-BR-03</x:v>
      </x:c>
      <x:c r="C17" s="42" t="str">
        <x:v>Santa Casa POA dispensário eletrônico</x:v>
      </x:c>
      <x:c r="D17" s="42" t="str">
        <x:v>Artigo científico</x:v>
      </x:c>
      <x:c r="E17" s="42" t="str">
        <x:v>2020</x:v>
      </x:c>
      <x:c r="F17" s="42" t="str">
        <x:v>https://jhphs.org/sbrafh/article/download/381/359/725</x:v>
      </x:c>
      <x:c r="G17" s="42" t="str">
        <x:v>Automação de farmácia com ROI, consumo e devoluções.</x:v>
      </x:c>
    </x:row>
    <x:row r="18" ht="55" customHeight="1">
      <x:c r="A18" s="42" t="str">
        <x:v>F17</x:v>
      </x:c>
      <x:c r="B18" s="42" t="str">
        <x:v>OP-BR-03</x:v>
      </x:c>
      <x:c r="C18" s="42" t="str">
        <x:v>Glosas hospital oeste do Paraná</x:v>
      </x:c>
      <x:c r="D18" s="42" t="str">
        <x:v>Artigo científico</x:v>
      </x:c>
      <x:c r="E18" s="42" t="str">
        <x:v>2024</x:v>
      </x:c>
      <x:c r="F18" s="42" t="str">
        <x:v>https://revistas.ufpr.br/rcc/article/download/93128/75661/440863</x:v>
      </x:c>
      <x:c r="G18" s="42" t="str">
        <x:v>Apoia glosas e impacto financeiro.</x:v>
      </x:c>
    </x:row>
  </x:sheetData>
  <x:pageMargins left="0.7" right="0.7" top="0.75" bottom="0.75" header="0.3" footer="0.3"/>
  <x:tableParts count="1">
    <x:tablePart xmlns:r="http://schemas.openxmlformats.org/officeDocument/2006/relationships" r:id="Rb89e7685994b4a95"/>
  </x:tableParts>
</x:worksheet>
</file>

<file path=xl/worksheets/sheet5.xml><?xml version="1.0" encoding="utf-8"?>
<x:worksheet xmlns:x="http://schemas.openxmlformats.org/spreadsheetml/2006/main">
  <x:sheetFormatPr defaultRowHeight="15"/>
  <x:cols>
    <x:col min="1" max="1" width="22" hidden="0" customWidth="1"/>
    <x:col min="2" max="2" width="48" hidden="0" customWidth="1"/>
    <x:col min="3" max="3" width="38" hidden="0" customWidth="1"/>
    <x:col min="4" max="4" width="48" hidden="0" customWidth="1"/>
  </x:cols>
  <x:sheetData>
    <x:row r="1" ht="36" customHeight="1">
      <x:c r="A1" s="39" t="str">
        <x:v>Tema</x:v>
      </x:c>
      <x:c r="B1" s="39" t="str">
        <x:v>Lição aprendida</x:v>
      </x:c>
      <x:c r="C1" s="39" t="str">
        <x:v>Casos que ilustram</x:v>
      </x:c>
      <x:c r="D1" s="39" t="str">
        <x:v>Como transformar em pergunta de business case</x:v>
      </x:c>
    </x:row>
    <x:row r="2" ht="70" customHeight="1">
      <x:c r="A2" s="42" t="str">
        <x:v>Validação clínica</x:v>
      </x:c>
      <x:c r="B2" s="42" t="str">
        <x:v>IA precisa provar desfecho em ambiente real, não apenas acurácia em dataset retrospectivo.</x:v>
      </x:c>
      <x:c r="C2" s="42" t="str">
        <x:v>Mayo Clinic; Google DermAssist; IBM Watson</x:v>
      </x:c>
      <x:c r="D2" s="42" t="str">
        <x:v>Qual desfecho clínico/operacional será medido antes e depois da implantação?</x:v>
      </x:c>
    </x:row>
    <x:row r="3" ht="70" customHeight="1">
      <x:c r="A3" s="42" t="str">
        <x:v>Integração ao fluxo</x:v>
      </x:c>
      <x:c r="B3" s="42" t="str">
        <x:v>IA bem-sucedida aparece dentro do fluxo de trabalho; IA solta vira alerta ignorado ou retrabalho.</x:v>
      </x:c>
      <x:c r="C3" s="42" t="str">
        <x:v>Mayo Clinic; Robô Laura; Neonpass Room</x:v>
      </x:c>
      <x:c r="D3" s="42" t="str">
        <x:v>Onde o resultado aparece? Quem recebe? Qual ação esperada e em quanto tempo?</x:v>
      </x:c>
    </x:row>
    <x:row r="4" ht="70" customHeight="1">
      <x:c r="A4" s="42" t="str">
        <x:v>Governança e responsabilidade</x:v>
      </x:c>
      <x:c r="B4" s="42" t="str">
        <x:v>O profissional continua responsável; a IA precisa de auditoria, trilha de decisão e critérios de override.</x:v>
      </x:c>
      <x:c r="C4" s="42" t="str">
        <x:v>IBM Watson; Google DermAssist; InRad</x:v>
      </x:c>
      <x:c r="D4" s="42" t="str">
        <x:v>Quem valida o output? Quem responde por falso positivo/falso negativo?</x:v>
      </x:c>
    </x:row>
    <x:row r="5" ht="70" customHeight="1">
      <x:c r="A5" s="42" t="str">
        <x:v>Efeito dominó operacional</x:v>
      </x:c>
      <x:c r="B5" s="42" t="str">
        <x:v>Acelerar uma etapa pode deslocar gargalo para recepção, agenda, enfermagem, telefone, estacionamento ou pós-laudo.</x:v>
      </x:c>
      <x:c r="C5" s="42" t="str">
        <x:v>HCI Ijuí; InRad; Neonpass Room</x:v>
      </x:c>
      <x:c r="D5" s="42" t="str">
        <x:v>Quais áreas downstream terão aumento de demanda se a IA funcionar?</x:v>
      </x:c>
    </x:row>
    <x:row r="6" ht="70" customHeight="1">
      <x:c r="A6" s="42" t="str">
        <x:v>Custo oculto</x:v>
      </x:c>
      <x:c r="B6" s="42" t="str">
        <x:v>O custo real inclui infraestrutura, treinamento, integração, suporte, monitoramento, cybersecurity e manutenção de modelo.</x:v>
      </x:c>
      <x:c r="C6" s="42" t="str">
        <x:v>Telemetria Sobradinho; IBM Watson; Mayo Clinic</x:v>
      </x:c>
      <x:c r="D6" s="42" t="str">
        <x:v>O orçamento inclui EHR, rede, equipe, treinamento e monitoramento contínuo?</x:v>
      </x:c>
    </x:row>
    <x:row r="7" ht="70" customHeight="1">
      <x:c r="A7" s="42" t="str">
        <x:v>Equidade e viés</x:v>
      </x:c>
      <x:c r="B7" s="42" t="str">
        <x:v>Ferramentas visuais podem falhar em populações sub-representadas; diversidade precisa ser testada localmente.</x:v>
      </x:c>
      <x:c r="C7" s="42" t="str">
        <x:v>Google DermAssist; DDI</x:v>
      </x:c>
      <x:c r="D7" s="42" t="str">
        <x:v>O modelo foi validado em tons de pele, idioma, cultura e perfil epidemiológico do nosso público?</x:v>
      </x:c>
    </x:row>
    <x:row r="8" ht="70" customHeight="1">
      <x:c r="A8" s="42" t="str">
        <x:v>Medição financeira</x:v>
      </x:c>
      <x:c r="B8" s="42" t="str">
        <x:v>ROI deve incluir perda evitada, retrabalho, glosas, tempo de equipe, evento adverso e oportunidade de capacidade.</x:v>
      </x:c>
      <x:c r="C8" s="42" t="str">
        <x:v>Farmácia POA; HCI Ijuí; Neonpass Room</x:v>
      </x:c>
      <x:c r="D8" s="42" t="str">
        <x:v>Quais custos invisíveis serão quantificados antes e depois?</x:v>
      </x:c>
    </x:row>
  </x:sheetData>
  <x:pageMargins left="0.7" right="0.7" top="0.75" bottom="0.75" header="0.3" footer="0.3"/>
  <x:tableParts count="1">
    <x:tablePart xmlns:r="http://schemas.openxmlformats.org/officeDocument/2006/relationships" r:id="Rda2157e1efe44398"/>
  </x:tableParts>
</x:worksheet>
</file>

<file path=xl/worksheets/sheet6.xml><?xml version="1.0" encoding="utf-8"?>
<x:worksheet xmlns:x="http://schemas.openxmlformats.org/spreadsheetml/2006/main">
  <x:sheetFormatPr defaultRowHeight="15"/>
  <x:cols>
    <x:col min="1" max="1" width="40" hidden="0" customWidth="1"/>
    <x:col min="2" max="2" width="28" hidden="0" customWidth="1"/>
    <x:col min="3" max="3" width="55" hidden="0" customWidth="1"/>
    <x:col min="4" max="4" width="18" hidden="0" customWidth="1"/>
    <x:col min="5" max="5" width="16" hidden="0" customWidth="1"/>
    <x:col min="6" max="6" width="45" hidden="0" customWidth="1"/>
    <x:col min="7" max="7" width="18" hidden="0" customWidth="1"/>
    <x:col min="8" max="8" width="65" hidden="0" customWidth="1"/>
  </x:cols>
  <x:sheetData>
    <x:row r="1" ht="36" customHeight="1">
      <x:c r="A1" s="48" t="str">
        <x:v>Title</x:v>
      </x:c>
      <x:c r="B1" s="48" t="str">
        <x:v>Authors</x:v>
      </x:c>
      <x:c r="C1" s="48" t="str">
        <x:v>URL</x:v>
      </x:c>
      <x:c r="D1" s="48" t="str">
        <x:v>DOI</x:v>
      </x:c>
      <x:c r="E1" s="48" t="str">
        <x:v>Published Date</x:v>
      </x:c>
      <x:c r="F1" s="48" t="str">
        <x:v>Argumento Que Sustenta</x:v>
      </x:c>
      <x:c r="G1" s="48" t="str">
        <x:v>Tipo</x:v>
      </x:c>
      <x:c r="H1" s="48" t="str">
        <x:v>Summary</x:v>
      </x:c>
    </x:row>
    <x:row r="2" ht="80" customHeight="1">
      <x:c r="A2" s="42" t="str">
        <x:v>Uso da IA no Instituto de Radiologia da USP permitirá laudos mais ágeis</x:v>
      </x:c>
      <x:c r="B2" s="42" t="str">
        <x:v>9</x:v>
      </x:c>
      <x:c r="C2" s="42" t="str">
        <x:v>https://jornal.usp.br/radio-usp/uso-da-ia-no-instituto-de-radiologia-da-usp-permitira-laudos-mais-ageis/</x:v>
      </x:c>
      <x:c r="D2" s="42" t="str">
        <x:v>9</x:v>
      </x:c>
      <x:c r="E2" s="42" t="str">
        <x:v>2024-02-15</x:v>
      </x:c>
      <x:c r="F2" s="42" t="str">
        <x:v>IA de laudos: aceleração do turnaround, padronização do laudo e reorganização do fluxo assistencial.</x:v>
      </x:c>
      <x:c r="G2" s="42" t="str">
        <x:v>Reportagem</x:v>
      </x:c>
      <x:c r="H2" s="42" t="str">
        <x:v>Reportagem institucional do Jornal da USP sobre o laboratório de IA Generativa no InovaHC/InRad. O texto sustenta a tese de que a IA pode acelerar laudos e reorganizar o fluxo do serviço: fala em laudos mais ágeis, pré-laudo e pós-laudo, e menciona cerca de 30 mil laudos anuais no complexo do HC.</x:v>
      </x:c>
    </x:row>
    <x:row r="3" ht="80" customHeight="1">
      <x:c r="A3" s="42" t="str">
        <x:v>Pioneiro no interior do RS, HCI implanta Inteligência Artificial na ressonância magnética e agiliza exames em até 50%RPI – Rádio Progresso de Ijuí</x:v>
      </x:c>
      <x:c r="B3" s="42" t="str">
        <x:v>Sabrina Bertollo</x:v>
      </x:c>
      <x:c r="C3" s="42" t="str">
        <x:v>https://radioprogresso.com.br/pioneiro-no-interior-do-rs-hci-implanta-inteligencia-artificial-na-ressonancia-magnetica-e-agiliza-exames-em-ate-50/</x:v>
      </x:c>
      <x:c r="D3" s="42" t="str">
        <x:v>9</x:v>
      </x:c>
      <x:c r="E3" s="42" t="str">
        <x:v>2026-06-03</x:v>
      </x:c>
      <x:c r="F3" s="42" t="str">
        <x:v>IA em ressonância: redução de tempo de exame, aumento de capacidade diária e provável pressão sobre o fluxo downstream.</x:v>
      </x:c>
      <x:c r="G3" s="42" t="str">
        <x:v>Reportagem</x:v>
      </x:c>
      <x:c r="H3" s="42" t="str">
        <x:v>Reportagem local sobre o HCI, em Ijuí (RS), dizendo que a atualização de IA na ressonância magnética pode reduzir em até 50% o tempo dos exames sem perda de qualidade. Serve como caso brasileiro concreto de ganho de throughput em imagem.</x:v>
      </x:c>
    </x:row>
    <x:row r="4" ht="80" customHeight="1">
      <x:c r="A4" s="42" t="str">
        <x:v>Análise de custo e fatores relacionados à devolução de medicamentos à farmácia hospitalar de um hospital privado no Município de Belém</x:v>
      </x:c>
      <x:c r="B4" s="42" t="str">
        <x:v>Maria Pantoja Moreira de Sena, C. M. Oliveira, Clarisse Andrade Sales, Marcos Felipe Rodrigues de Souza, Renato Bruno Cavalcante de Melo, Crystyanne de Sousa Freitas, Amanda Gabryelle Nunes Cardoso Mello, Luann Wendel Pereira de Sena</x:v>
      </x:c>
      <x:c r="C4" s="42" t="str">
        <x:v>https://rsdjournal.org/index.php/rsd/article/download/21645/19289</x:v>
      </x:c>
      <x:c r="D4" s="42" t="str">
        <x:v>10.33448/rsd-v10i14.21645</x:v>
      </x:c>
      <x:c r="E4" s="42" t="str">
        <x:v>2021</x:v>
      </x:c>
      <x:c r="F4" s="42" t="str">
        <x:v>Automação/organização da farmácia: perdas financeiras pós-dispensa, retrabalho e desperdício de estoque.</x:v>
      </x:c>
      <x:c r="G4" s="42" t="str">
        <x:v>Estudo</x:v>
      </x:c>
      <x:c r="H4" s="42" t="str">
        <x:v>Estudo brasileiro sobre devolução de medicamentos após dispensação em hospital privado de Belém. Encontrou custo total de R$ 2.870.733,19 e mostrou que a mudança para dose unitária individualizada reduziu os custos relativos de devolução ao longo de 2018-2020.</x:v>
      </x:c>
    </x:row>
    <x:row r="5" ht="80" customHeight="1">
      <x:c r="A5" s="42" t="str">
        <x:v>Redução de custos hospitalares após implementação de ferramentas informatizadas na logística de um serviço de farmácia hospitalar</x:v>
      </x:c>
      <x:c r="B5" s="42" t="str">
        <x:v>C. Rodrigues, Vaneska Paiva</x:v>
      </x:c>
      <x:c r="C5" s="42" t="str">
        <x:v>https://doi.org/10.21115/jbes.v14.n3.p210-216</x:v>
      </x:c>
      <x:c r="D5" s="42" t="str">
        <x:v>10.21115/jbes.v14.n3.p210-216</x:v>
      </x:c>
      <x:c r="E5" s="42" t="str">
        <x:v>2022</x:v>
      </x:c>
      <x:c r="F5" s="42" t="str">
        <x:v>Automação de farmácia: economia operacional, redução de perdas e menor necessidade de compras emergenciais.</x:v>
      </x:c>
      <x:c r="G5" s="42" t="str">
        <x:v>Estudo</x:v>
      </x:c>
      <x:c r="H5" s="42" t="str">
        <x:v>Estudo observacional brasileiro sobre informatização da rastreabilidade em farmácia hospitalar. Relata redução média de 47,9% nos custos com perdas por validade e 70% nos custos com compras emergenciais após a implantação das ferramentas informatizadas.</x:v>
      </x:c>
    </x:row>
    <x:row r="6" ht="80" customHeight="1">
      <x:c r="A6" s="42" t="str">
        <x:v>O IMPACTO FINANCEIRO DAS PERDAS/DESVIOS DE MEDICAMENTOS APÓS DISPENSAÇÃO EM UM HOSPITAL UNIVERSITÁRIO.</x:v>
      </x:c>
      <x:c r="B6" s="42" t="str">
        <x:v>Thaisa Calumby Lima, Damaris Santana Cardoso, Tamires Andrade de Oliveira, Ariane De Carvalho Viana, M. Andrade</x:v>
      </x:c>
      <x:c r="C6" s="42" t="str">
        <x:v>https://www.semanticscholar.org/paper/846a41cc8ea53d3a3511025c2cd539c9529ae4ba</x:v>
      </x:c>
      <x:c r="D6" s="42" t="str">
        <x:v>10.51161/conbracif/44</x:v>
      </x:c>
      <x:c r="E6" s="42" t="str">
        <x:v>2022</x:v>
      </x:c>
      <x:c r="F6" s="42" t="str">
        <x:v>Automação de farmácia: retrabalho, duplicidade de dispensação e perdas diretas mensuráveis.</x:v>
      </x:c>
      <x:c r="G6" s="42" t="str">
        <x:v>Estudo</x:v>
      </x:c>
      <x:c r="H6" s="42" t="str">
        <x:v>Estudo brasileiro sobre perdas e desvios de medicamentos após a dispensação em hospital universitário. Identificou 1.607 unidades farmacêuticas dispensadas em duplicidade, com impacto financeiro total de R$ 10.056,17.</x:v>
      </x:c>
    </x:row>
    <x:row r="7" ht="80" customHeight="1">
      <x:c r="A7" s="42" t="str">
        <x:v>Erro de medicação: o custo e o impacto das tecnologias preventivas na cadeia medicamentosa</x:v>
      </x:c>
      <x:c r="B7" s="42" t="str">
        <x:v>Renata Prado Bereta Vilela</x:v>
      </x:c>
      <x:c r="C7" s="42" t="str">
        <x:v>https://www.semanticscholar.org/paper/f1c482ea9490d8eeafda2baf1cdf2261ffc1bcd6</x:v>
      </x:c>
      <x:c r="D7" s="42" t="str">
        <x:v>9</x:v>
      </x:c>
      <x:c r="E7" s="42" t="str">
        <x:v>2016</x:v>
      </x:c>
      <x:c r="F7" s="42" t="str">
        <x:v>Automação e prevenção de erro de medicação: custo de implementação versus economia potencial com redução de eventos adversos e retrabalho.</x:v>
      </x:c>
      <x:c r="G7" s="42" t="str">
        <x:v>Estudo</x:v>
      </x:c>
      <x:c r="H7" s="42" t="str">
        <x:v>Trabalho brasileiro sobre o custo e o impacto de tecnologias preventivas na cadeia medicamentosa. O resumo destaca que o custo médio anual dessas tecnologias por paciente foi de R$ 55,75 e que o estudo estimou projeção anual superior a R$ 10 milhões.</x:v>
      </x:c>
    </x:row>
  </x:sheetData>
  <x:pageMargins left="0.7" right="0.7" top="0.75" bottom="0.75" header="0.3" footer="0.3"/>
  <x:tableParts count="1">
    <x:tablePart xmlns:r="http://schemas.openxmlformats.org/officeDocument/2006/relationships" r:id="R6b04acf476774f3b"/>
  </x:tableParts>
</x:worksheet>
</file>